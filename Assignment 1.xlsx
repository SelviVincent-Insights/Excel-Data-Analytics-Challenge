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6d35bd0170492b1/Desktop/Entri Assignments/Excel/Weekly Assignment/"/>
    </mc:Choice>
  </mc:AlternateContent>
  <xr:revisionPtr revIDLastSave="51" documentId="8_{370E1BC8-69A5-43D2-90FE-91DF32885539}" xr6:coauthVersionLast="47" xr6:coauthVersionMax="47" xr10:uidLastSave="{4CEA9AC8-7128-4FA7-920B-B4F6A472BD2E}"/>
  <bookViews>
    <workbookView xWindow="-110" yWindow="-110" windowWidth="19420" windowHeight="10300" tabRatio="241" xr2:uid="{0E1974F5-A445-49F1-9F61-41F67B4740C7}"/>
  </bookViews>
  <sheets>
    <sheet name="Sheet3" sheetId="3" r:id="rId1"/>
    <sheet name="Sheet1" sheetId="4" r:id="rId2"/>
  </sheets>
  <definedNames>
    <definedName name="_xlnm._FilterDatabase" localSheetId="0" hidden="1">Sheet3!$B$2:$B$35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4" i="3" l="1"/>
  <c r="O12" i="3"/>
  <c r="O10" i="3"/>
  <c r="O8" i="3"/>
  <c r="O6" i="3"/>
  <c r="O4" i="3"/>
  <c r="O2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B2" i="3"/>
  <c r="B5" i="3"/>
  <c r="A5" i="3"/>
  <c r="B33" i="3"/>
  <c r="C5" i="3"/>
  <c r="A7" i="3"/>
  <c r="B31" i="3"/>
  <c r="C7" i="3"/>
  <c r="A10" i="3"/>
  <c r="C10" i="3"/>
  <c r="A14" i="3"/>
  <c r="B12" i="3"/>
  <c r="C14" i="3"/>
  <c r="A17" i="3"/>
  <c r="B15" i="3"/>
  <c r="C17" i="3"/>
  <c r="A21" i="3"/>
  <c r="B27" i="3"/>
  <c r="C21" i="3"/>
  <c r="A25" i="3"/>
  <c r="B14" i="3"/>
  <c r="C25" i="3"/>
  <c r="A30" i="3"/>
  <c r="B20" i="3"/>
  <c r="C30" i="3"/>
  <c r="A32" i="3"/>
  <c r="B35" i="3"/>
  <c r="C32" i="3"/>
  <c r="A18" i="3"/>
  <c r="B4" i="3"/>
  <c r="C18" i="3"/>
  <c r="A33" i="3"/>
  <c r="B16" i="3"/>
  <c r="C33" i="3"/>
  <c r="A34" i="3"/>
  <c r="B32" i="3"/>
  <c r="C34" i="3"/>
  <c r="A6" i="3"/>
  <c r="B34" i="3"/>
  <c r="C6" i="3"/>
  <c r="A11" i="3"/>
  <c r="C11" i="3"/>
  <c r="A26" i="3"/>
  <c r="B17" i="3"/>
  <c r="C26" i="3"/>
  <c r="A27" i="3"/>
  <c r="B21" i="3"/>
  <c r="C27" i="3"/>
  <c r="A3" i="3"/>
  <c r="B11" i="3"/>
  <c r="C3" i="3"/>
  <c r="A8" i="3"/>
  <c r="B19" i="3"/>
  <c r="C8" i="3"/>
  <c r="A28" i="3"/>
  <c r="B25" i="3"/>
  <c r="C28" i="3"/>
  <c r="A15" i="3"/>
  <c r="B9" i="3"/>
  <c r="C15" i="3"/>
  <c r="A4" i="3"/>
  <c r="B26" i="3"/>
  <c r="C4" i="3"/>
  <c r="A22" i="3"/>
  <c r="B3" i="3"/>
  <c r="C22" i="3"/>
  <c r="A29" i="3"/>
  <c r="B30" i="3"/>
  <c r="C29" i="3"/>
  <c r="A31" i="3"/>
  <c r="B24" i="3"/>
  <c r="C31" i="3"/>
  <c r="A19" i="3"/>
  <c r="B22" i="3"/>
  <c r="C19" i="3"/>
  <c r="A23" i="3"/>
  <c r="B8" i="3"/>
  <c r="C23" i="3"/>
  <c r="A12" i="3"/>
  <c r="B7" i="3"/>
  <c r="C12" i="3"/>
  <c r="A9" i="3"/>
  <c r="B23" i="3"/>
  <c r="C9" i="3"/>
  <c r="A13" i="3"/>
  <c r="B10" i="3"/>
  <c r="C13" i="3"/>
  <c r="A16" i="3"/>
  <c r="B13" i="3"/>
  <c r="C16" i="3"/>
  <c r="A35" i="3"/>
  <c r="B18" i="3"/>
  <c r="C35" i="3"/>
  <c r="A20" i="3"/>
  <c r="B29" i="3"/>
  <c r="C20" i="3"/>
  <c r="A24" i="3"/>
  <c r="B28" i="3"/>
  <c r="C24" i="3"/>
  <c r="B6" i="3"/>
  <c r="D13" i="3" l="1"/>
  <c r="D6" i="3"/>
  <c r="D7" i="3"/>
  <c r="D10" i="3"/>
  <c r="D28" i="3"/>
  <c r="D27" i="3"/>
  <c r="D18" i="3"/>
  <c r="D17" i="3"/>
  <c r="D31" i="3"/>
  <c r="D23" i="3"/>
  <c r="D9" i="3"/>
  <c r="D32" i="3"/>
  <c r="D20" i="3"/>
  <c r="D22" i="3"/>
  <c r="D11" i="3"/>
  <c r="D33" i="3"/>
  <c r="D5" i="3"/>
  <c r="D25" i="3"/>
  <c r="D30" i="3"/>
  <c r="D3" i="3"/>
  <c r="D16" i="3"/>
  <c r="D35" i="3"/>
  <c r="D29" i="3"/>
  <c r="D24" i="3"/>
  <c r="D21" i="3"/>
  <c r="D26" i="3"/>
  <c r="D34" i="3"/>
  <c r="D15" i="3"/>
  <c r="D8" i="3"/>
  <c r="D19" i="3"/>
  <c r="D4" i="3"/>
  <c r="D14" i="3"/>
  <c r="D12" i="3"/>
  <c r="C2" i="3" l="1"/>
  <c r="A2" i="3"/>
  <c r="D2" i="3" l="1"/>
</calcChain>
</file>

<file path=xl/sharedStrings.xml><?xml version="1.0" encoding="utf-8"?>
<sst xmlns="http://schemas.openxmlformats.org/spreadsheetml/2006/main" count="263" uniqueCount="107">
  <si>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</si>
  <si>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</si>
  <si>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</si>
  <si>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</si>
  <si>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</si>
  <si>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</si>
  <si>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</si>
  <si>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</si>
  <si>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</si>
  <si>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</si>
  <si>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</si>
  <si>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</si>
  <si>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</si>
  <si>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</si>
  <si>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</si>
  <si>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</si>
  <si>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</si>
  <si>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</si>
  <si>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</si>
  <si>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</si>
  <si>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</si>
  <si>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</si>
  <si>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</si>
  <si>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</si>
  <si>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</si>
  <si>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</si>
  <si>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</si>
  <si>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</si>
  <si>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</si>
  <si>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</si>
  <si>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</si>
  <si>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</si>
  <si>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</si>
  <si>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</si>
  <si>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</si>
  <si>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</si>
  <si>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</si>
  <si>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</si>
  <si>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</si>
  <si>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</si>
  <si>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</si>
  <si>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</si>
  <si>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</si>
  <si>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</si>
  <si>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</si>
  <si>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</si>
  <si>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</si>
  <si>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</si>
  <si>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</si>
  <si>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</si>
  <si>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</si>
  <si>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</si>
  <si>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</si>
  <si>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</si>
  <si>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</si>
  <si>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</si>
  <si>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</si>
  <si>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</si>
  <si>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</si>
  <si>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</si>
  <si>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</si>
  <si>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</si>
  <si>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</si>
  <si>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</si>
  <si>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</si>
  <si>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</si>
  <si>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</si>
  <si>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</si>
  <si>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</si>
  <si>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</si>
  <si>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</si>
  <si>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</si>
  <si>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</si>
  <si>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</si>
  <si>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</si>
  <si>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</si>
  <si>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</si>
  <si>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</si>
  <si>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</si>
  <si>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</si>
  <si>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</si>
  <si>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</si>
  <si>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</si>
  <si>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</si>
  <si>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</si>
  <si>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</si>
  <si>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</si>
  <si>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</si>
  <si>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</si>
  <si>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</si>
  <si>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</si>
  <si>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</si>
  <si>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</si>
  <si>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Day</t>
  </si>
  <si>
    <t>Month</t>
  </si>
  <si>
    <t>Country</t>
  </si>
  <si>
    <t>Prouduct ID</t>
  </si>
  <si>
    <t>Price Range</t>
  </si>
  <si>
    <t>TOTAL PRICE</t>
  </si>
  <si>
    <t>COUNT OF PRODUCTS</t>
  </si>
  <si>
    <t>AVERAGE PRICE</t>
  </si>
  <si>
    <t>MINIMUM PRICE</t>
  </si>
  <si>
    <t>MAXIMUM PRICE</t>
  </si>
  <si>
    <t>COUNTIF (Price Less than $100)</t>
  </si>
  <si>
    <t>TOTAL ELECTRONIC PRICE (SUMIF)</t>
  </si>
  <si>
    <t>SUMMARY OF TASK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</si>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</sst>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Trebuchet MS"/>
      <family val="2"/>
      <scheme val="minor"/>
    </font>
    <font>
      <sz val="10"/>
      <color rgb="FF000000"/>
      <name val="Trebuchet MS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b/>
      <sz val="12"/>
      <color rgb="FF0070C0"/>
      <name val="Trebuchet MS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2F2F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44" fontId="4" fillId="0" borderId="0" applyFont="0" applyFill="0" applyBorder="0" applyAlignment="0" applyProtection="0"/>
    <xf numFmtId="0" fontId="5" fillId="4" borderId="1" applyNumberFormat="0" applyAlignment="0" applyProtection="0"/>
  </cellStyleXfs>
  <cellXfs count="33">
    <xf numFmtId="0" fontId="0" fillId="0" borderId="0" xfId="0"/>
    <xf numFmtId="0" fontId="2" fillId="2" borderId="0" xfId="1" applyFont="1" applyFill="1" applyAlignment="1">
      <alignment horizontal="center"/>
    </xf>
    <xf numFmtId="0" fontId="3" fillId="3" borderId="0" xfId="1" applyFont="1" applyFill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5" borderId="2" xfId="0" applyNumberFormat="1" applyFont="1" applyFill="1" applyBorder="1" applyAlignment="1">
      <alignment horizontal="center"/>
    </xf>
    <xf numFmtId="0" fontId="0" fillId="0" borderId="2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6" fillId="6" borderId="4" xfId="3" applyFont="1" applyFill="1" applyBorder="1" applyAlignment="1">
      <alignment horizontal="center" vertical="center"/>
    </xf>
    <xf numFmtId="0" fontId="6" fillId="6" borderId="5" xfId="3" applyFont="1" applyFill="1" applyBorder="1" applyAlignment="1">
      <alignment horizontal="center" vertical="center"/>
    </xf>
    <xf numFmtId="0" fontId="6" fillId="6" borderId="5" xfId="3" applyNumberFormat="1" applyFont="1" applyFill="1" applyBorder="1" applyAlignment="1">
      <alignment horizontal="center" vertical="center"/>
    </xf>
    <xf numFmtId="0" fontId="6" fillId="6" borderId="6" xfId="3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44" fontId="0" fillId="0" borderId="3" xfId="2" applyFont="1" applyBorder="1" applyAlignment="1">
      <alignment horizontal="left" vertical="center"/>
    </xf>
    <xf numFmtId="0" fontId="0" fillId="0" borderId="3" xfId="0" applyBorder="1"/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44" fontId="0" fillId="0" borderId="10" xfId="2" applyFont="1" applyBorder="1" applyAlignment="1">
      <alignment horizontal="left" vertical="center"/>
    </xf>
    <xf numFmtId="0" fontId="0" fillId="0" borderId="10" xfId="0" applyBorder="1"/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44" fontId="0" fillId="0" borderId="8" xfId="0" applyNumberFormat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7" xfId="0" applyBorder="1"/>
    <xf numFmtId="44" fontId="0" fillId="0" borderId="8" xfId="2" applyFont="1" applyBorder="1" applyAlignment="1">
      <alignment horizontal="right" vertical="center"/>
    </xf>
    <xf numFmtId="0" fontId="0" fillId="0" borderId="9" xfId="0" applyFont="1" applyBorder="1" applyAlignment="1">
      <alignment horizontal="left"/>
    </xf>
    <xf numFmtId="0" fontId="0" fillId="0" borderId="11" xfId="0" applyFont="1" applyBorder="1" applyAlignment="1">
      <alignment horizontal="right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</cellXfs>
  <cellStyles count="4">
    <cellStyle name="Calculation" xfId="3" builtinId="22"/>
    <cellStyle name="Currency" xfId="2" builtinId="4"/>
    <cellStyle name="Normal" xfId="0" builtinId="0"/>
    <cellStyle name="Normal 2" xfId="1" xr:uid="{60AB69C8-907E-43EB-88B0-DBB3BB97D481}"/>
  </cellStyles>
  <dxfs count="30">
    <dxf>
      <font>
        <strike val="0"/>
        <color rgb="FF002060"/>
      </font>
    </dxf>
    <dxf>
      <font>
        <color rgb="FF0070C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rebuchet MS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rgb="FF0070C0"/>
        <name val="Trebuchet MS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130402</xdr:colOff>
      <xdr:row>2</xdr:row>
      <xdr:rowOff>192767</xdr:rowOff>
    </xdr:from>
    <xdr:to>
      <xdr:col>11</xdr:col>
      <xdr:colOff>623079</xdr:colOff>
      <xdr:row>7</xdr:row>
      <xdr:rowOff>181880</xdr:rowOff>
    </xdr:to>
    <xdr:pic>
      <xdr:nvPicPr>
        <xdr:cNvPr id="3" name="Picture 2" descr="Businesswoman holding hand up">
          <a:extLst>
            <a:ext uri="{FF2B5EF4-FFF2-40B4-BE49-F238E27FC236}">
              <a16:creationId xmlns:a16="http://schemas.microsoft.com/office/drawing/2014/main" id="{062AFC35-537F-172C-E168-7F542C825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9911" y="578303"/>
          <a:ext cx="492677" cy="95295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3E1FB5-A13A-49AE-AF80-9860B65179D0}" name="Table6" displayName="Table6" ref="A1:J35" totalsRowShown="0" headerRowDxfId="29" headerRowBorderDxfId="28" tableBorderDxfId="27" totalsRowBorderDxfId="26" headerRowCellStyle="Calculation">
  <autoFilter ref="A1:J35" xr:uid="{2D3E1FB5-A13A-49AE-AF80-9860B65179D0}"/>
  <sortState xmlns:xlrd2="http://schemas.microsoft.com/office/spreadsheetml/2017/richdata2" ref="A2:J35">
    <sortCondition ref="B2:B35" customList="Jan,Feb,Mar,Apr,May,Jun,Jul,Aug,Sep,Oct,Nov,Dec"/>
  </sortState>
  <tableColumns count="10">
    <tableColumn id="1" xr3:uid="{23C170CE-6A07-40F4-9F2A-B2C2A5A7B042}" name="Day" dataDxfId="25">
      <calculatedColumnFormula>LEFT(Sheet1!A2,2)</calculatedColumnFormula>
    </tableColumn>
    <tableColumn id="2" xr3:uid="{970CDDCE-839C-49E0-B375-FEAA08AFE3CF}" name="Month" dataDxfId="24">
      <calculatedColumnFormula>MID(Sheet1!A2,4,3)</calculatedColumnFormula>
    </tableColumn>
    <tableColumn id="3" xr3:uid="{58767893-3278-4F38-BF36-BD7CF8942FED}" name="Country" dataDxfId="23">
      <calculatedColumnFormula>RIGHT(Sheet1!A2,2)</calculatedColumnFormula>
    </tableColumn>
    <tableColumn id="4" xr3:uid="{2372FBFC-88B1-4EE5-97C4-C574F53EAE1F}" name="Prouduct ID" dataDxfId="22">
      <calculatedColumnFormula>CONCATENATE(A2,"-",B2,"-",C2)</calculatedColumnFormula>
    </tableColumn>
    <tableColumn id="5" xr3:uid="{256DA9F6-A89A-4E37-AC72-635BCA16D794}" name="Product Name" dataDxfId="21"/>
    <tableColumn id="6" xr3:uid="{7EDAC637-A032-489E-A0F0-65DE0B57DB55}" name="Brand Name" dataDxfId="20"/>
    <tableColumn id="7" xr3:uid="{BC5AB04E-63B5-4F8F-A975-B7FE4676115A}" name="Price ($)" dataDxfId="19" dataCellStyle="Currency"/>
    <tableColumn id="8" xr3:uid="{74BBFB4C-B254-4C8C-910D-BEB9C1EE4087}" name="Price Range" dataDxfId="18">
      <calculatedColumnFormula>IF(G2&gt;=500,"High Price","Standard Price")</calculatedColumnFormula>
    </tableColumn>
    <tableColumn id="9" xr3:uid="{497E9A97-5EAA-4EC3-9C84-5BC280594743}" name="Quantity" dataDxfId="17"/>
    <tableColumn id="10" xr3:uid="{9B40B341-CF6A-4C49-9847-4FD614D3D3CB}" name="Category" dataDxfId="16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9EF5FD-9304-4989-B113-5D7E73216C77}" name="Table7" displayName="Table7" ref="N1:O14" totalsRowShown="0" headerRowDxfId="15" headerRowBorderDxfId="14" tableBorderDxfId="13" totalsRowBorderDxfId="12">
  <autoFilter ref="N1:O14" xr:uid="{EB9EF5FD-9304-4989-B113-5D7E73216C77}"/>
  <tableColumns count="2">
    <tableColumn id="1" xr3:uid="{AD55A5E7-8E1D-4D6C-9FA1-B93A93726667}" name="SUMMARY OF TASK" dataDxfId="11"/>
    <tableColumn id="2" xr3:uid="{D981800E-A3A4-4E0B-9B38-50A6EB8F0875}" name="RESULT" dataDxfId="10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7A496E-2EE1-4C8B-92A6-E7A350C27B3E}" name="Table3" displayName="Table3" ref="A1:F35" totalsRowShown="0" headerRowDxfId="9" dataDxfId="8" headerRowCellStyle="Normal 2" dataCellStyle="Normal 2">
  <autoFilter ref="A1:F35" xr:uid="{497A496E-2EE1-4C8B-92A6-E7A350C27B3E}"/>
  <tableColumns count="6">
    <tableColumn id="1" xr3:uid="{6C2AD22E-D146-40E6-91A8-5ACF1C3EC05D}" name="Product ID" dataDxfId="7" dataCellStyle="Normal 2"/>
    <tableColumn id="2" xr3:uid="{FDF87F9E-AD87-42A5-8A52-5BC2203235EC}" name="Product Name" dataDxfId="6" dataCellStyle="Normal 2"/>
    <tableColumn id="3" xr3:uid="{2EAB7871-9125-4266-9911-8C026F7C7956}" name="Brand Name" dataDxfId="5" dataCellStyle="Normal 2"/>
    <tableColumn id="4" xr3:uid="{09983D1B-8ED0-4075-9982-C64F849A49A6}" name="Price ($)" dataDxfId="4" dataCellStyle="Normal 2"/>
    <tableColumn id="5" xr3:uid="{ED2D9F86-D00F-4E2C-BEC6-F917E5B0FC31}" name="Quantity" dataDxfId="3" dataCellStyle="Normal 2"/>
    <tableColumn id="6" xr3:uid="{E326FD6B-6472-4F79-AE9E-0CA986ABBBED}" name="Category" dataDxfId="2" dataCellStyle="Normal 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E21FB38-0FFA-494F-B60F-E78A078D7C79}">
  <we:reference id="wa200008734" version="1.0.0.4" store="en-US" storeType="OMEX"/>
  <we:alternateReferences>
    <we:reference id="WA200008734" version="1.0.0.4" store="WA200008734" storeType="OMEX"/>
  </we:alternateReferences>
  <we:properties>
    <we:property name="elkar-uid" value="&quot;949f259f-b4f9-4d30-8fb8-3d91f157fd6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3D04-65F1-4E7D-AFBE-5E6F79C802E4}">
  <dimension ref="A1:O35"/>
  <sheetViews>
    <sheetView tabSelected="1" topLeftCell="G1" zoomScale="112" zoomScaleNormal="112" workbookViewId="0">
      <selection activeCell="L12" sqref="L12"/>
    </sheetView>
  </sheetViews>
  <sheetFormatPr defaultRowHeight="14.5" x14ac:dyDescent="0.35"/>
  <cols>
    <col min="1" max="1" width="8.5" style="3" bestFit="1" customWidth="1"/>
    <col min="2" max="2" width="10.9140625" style="3" bestFit="1" customWidth="1"/>
    <col min="3" max="3" width="12.58203125" style="3" bestFit="1" customWidth="1"/>
    <col min="4" max="4" width="16" style="7" bestFit="1" customWidth="1"/>
    <col min="5" max="5" width="18.4140625" style="7" bestFit="1" customWidth="1"/>
    <col min="6" max="6" width="18.58203125" customWidth="1"/>
    <col min="7" max="7" width="18.58203125" style="7" customWidth="1"/>
    <col min="8" max="8" width="18.58203125" customWidth="1"/>
    <col min="9" max="9" width="13.25" style="4" bestFit="1" customWidth="1"/>
    <col min="10" max="10" width="18.58203125" customWidth="1"/>
    <col min="14" max="14" width="36.33203125" customWidth="1"/>
    <col min="15" max="15" width="11.4140625" bestFit="1" customWidth="1"/>
  </cols>
  <sheetData>
    <row r="1" spans="1:15" ht="15" customHeight="1" x14ac:dyDescent="0.35">
      <c r="A1" s="8" t="s">
        <v>93</v>
      </c>
      <c r="B1" s="9" t="s">
        <v>94</v>
      </c>
      <c r="C1" s="9" t="s">
        <v>95</v>
      </c>
      <c r="D1" s="9" t="s">
        <v>96</v>
      </c>
      <c r="E1" s="9" t="s">
        <v>1</v>
      </c>
      <c r="F1" s="9" t="s">
        <v>2</v>
      </c>
      <c r="G1" s="9" t="s">
        <v>3</v>
      </c>
      <c r="H1" s="9" t="s">
        <v>97</v>
      </c>
      <c r="I1" s="10" t="s">
        <v>4</v>
      </c>
      <c r="J1" s="11" t="s">
        <v>5</v>
      </c>
      <c r="N1" s="32" t="s">
        <v>105</v>
      </c>
      <c r="O1" s="31" t="s">
        <v>106</v>
      </c>
    </row>
    <row r="2" spans="1:15" ht="15" customHeight="1" x14ac:dyDescent="0.35">
      <c r="A2" s="12" t="str">
        <f>LEFT(Sheet1!A2,2)</f>
        <v>28</v>
      </c>
      <c r="B2" s="13" t="str">
        <f>MID(Sheet1!A2,4,3)</f>
        <v>JAN</v>
      </c>
      <c r="C2" s="13" t="str">
        <f>RIGHT(Sheet1!A2,2)</f>
        <v>US</v>
      </c>
      <c r="D2" s="14" t="str">
        <f t="shared" ref="D2:D35" si="0">CONCATENATE(A2,"-",B2,"-",C2)</f>
        <v>28-JAN-US</v>
      </c>
      <c r="E2" s="14" t="s">
        <v>7</v>
      </c>
      <c r="F2" s="14" t="s">
        <v>8</v>
      </c>
      <c r="G2" s="15">
        <v>1000</v>
      </c>
      <c r="H2" s="16" t="str">
        <f t="shared" ref="H2:H35" si="1">IF(G2&gt;=500,"High Price","Standard Price")</f>
        <v>High Price</v>
      </c>
      <c r="I2" s="5">
        <v>30</v>
      </c>
      <c r="J2" s="17" t="s">
        <v>9</v>
      </c>
      <c r="N2" s="24" t="s">
        <v>98</v>
      </c>
      <c r="O2" s="25">
        <f>SUM(G2:G35)</f>
        <v>10100</v>
      </c>
    </row>
    <row r="3" spans="1:15" ht="15" customHeight="1" x14ac:dyDescent="0.35">
      <c r="A3" s="12" t="str">
        <f>LEFT(Sheet1!A3,2)</f>
        <v>15</v>
      </c>
      <c r="B3" s="13" t="str">
        <f>MID(Sheet1!A3,4,3)</f>
        <v>FEB</v>
      </c>
      <c r="C3" s="13" t="str">
        <f>RIGHT(Sheet1!A3,2)</f>
        <v>US</v>
      </c>
      <c r="D3" s="14" t="str">
        <f t="shared" si="0"/>
        <v>15-FEB-US</v>
      </c>
      <c r="E3" s="14" t="s">
        <v>11</v>
      </c>
      <c r="F3" s="14" t="s">
        <v>12</v>
      </c>
      <c r="G3" s="15">
        <v>80</v>
      </c>
      <c r="H3" s="16" t="str">
        <f t="shared" si="1"/>
        <v>Standard Price</v>
      </c>
      <c r="I3" s="6">
        <v>15</v>
      </c>
      <c r="J3" s="17" t="s">
        <v>13</v>
      </c>
      <c r="N3" s="24"/>
      <c r="O3" s="26"/>
    </row>
    <row r="4" spans="1:15" ht="15" customHeight="1" x14ac:dyDescent="0.35">
      <c r="A4" s="12" t="str">
        <f>LEFT(Sheet1!A4,2)</f>
        <v>03</v>
      </c>
      <c r="B4" s="13" t="str">
        <f>MID(Sheet1!A4,4,3)</f>
        <v>MAR</v>
      </c>
      <c r="C4" s="13" t="str">
        <f>RIGHT(Sheet1!A4,2)</f>
        <v>US</v>
      </c>
      <c r="D4" s="14" t="str">
        <f t="shared" si="0"/>
        <v>03-MAR-US</v>
      </c>
      <c r="E4" s="14" t="s">
        <v>15</v>
      </c>
      <c r="F4" s="14" t="s">
        <v>16</v>
      </c>
      <c r="G4" s="15">
        <v>130</v>
      </c>
      <c r="H4" s="16" t="str">
        <f t="shared" si="1"/>
        <v>Standard Price</v>
      </c>
      <c r="I4" s="5">
        <v>40</v>
      </c>
      <c r="J4" s="17" t="s">
        <v>17</v>
      </c>
      <c r="N4" s="24" t="s">
        <v>99</v>
      </c>
      <c r="O4" s="26">
        <f>COUNTA(E2:E35)</f>
        <v>34</v>
      </c>
    </row>
    <row r="5" spans="1:15" ht="15" customHeight="1" x14ac:dyDescent="0.35">
      <c r="A5" s="12" t="str">
        <f>LEFT(Sheet1!A5,2)</f>
        <v>11</v>
      </c>
      <c r="B5" s="13" t="str">
        <f>MID(Sheet1!A5,4,3)</f>
        <v>APR</v>
      </c>
      <c r="C5" s="13" t="str">
        <f>RIGHT(Sheet1!A5,2)</f>
        <v>US</v>
      </c>
      <c r="D5" s="14" t="str">
        <f t="shared" si="0"/>
        <v>11-APR-US</v>
      </c>
      <c r="E5" s="14" t="s">
        <v>19</v>
      </c>
      <c r="F5" s="14" t="s">
        <v>20</v>
      </c>
      <c r="G5" s="15">
        <v>900</v>
      </c>
      <c r="H5" s="16" t="str">
        <f t="shared" si="1"/>
        <v>High Price</v>
      </c>
      <c r="I5" s="6">
        <v>25</v>
      </c>
      <c r="J5" s="17" t="s">
        <v>9</v>
      </c>
      <c r="N5" s="24"/>
      <c r="O5" s="26"/>
    </row>
    <row r="6" spans="1:15" ht="15" customHeight="1" x14ac:dyDescent="0.35">
      <c r="A6" s="12" t="str">
        <f>LEFT(Sheet1!A6,2)</f>
        <v>22</v>
      </c>
      <c r="B6" s="13" t="str">
        <f>MID(Sheet1!A6,4,3)</f>
        <v>MAY</v>
      </c>
      <c r="C6" s="13" t="str">
        <f>RIGHT(Sheet1!A6,2)</f>
        <v>US</v>
      </c>
      <c r="D6" s="14" t="str">
        <f t="shared" si="0"/>
        <v>22-MAY-US</v>
      </c>
      <c r="E6" s="14" t="s">
        <v>22</v>
      </c>
      <c r="F6" s="14" t="s">
        <v>23</v>
      </c>
      <c r="G6" s="15">
        <v>70</v>
      </c>
      <c r="H6" s="16" t="str">
        <f t="shared" si="1"/>
        <v>Standard Price</v>
      </c>
      <c r="I6" s="5">
        <v>20</v>
      </c>
      <c r="J6" s="17" t="s">
        <v>24</v>
      </c>
      <c r="N6" s="24" t="s">
        <v>100</v>
      </c>
      <c r="O6" s="25">
        <f>AVERAGE(G2:G35)</f>
        <v>297.05882352941177</v>
      </c>
    </row>
    <row r="7" spans="1:15" ht="15" customHeight="1" x14ac:dyDescent="0.35">
      <c r="A7" s="12" t="str">
        <f>LEFT(Sheet1!A7,2)</f>
        <v>07</v>
      </c>
      <c r="B7" s="13" t="str">
        <f>MID(Sheet1!A7,4,3)</f>
        <v>JUN</v>
      </c>
      <c r="C7" s="13" t="str">
        <f>RIGHT(Sheet1!A7,2)</f>
        <v>UK</v>
      </c>
      <c r="D7" s="14" t="str">
        <f t="shared" si="0"/>
        <v>07-JUN-UK</v>
      </c>
      <c r="E7" s="14" t="s">
        <v>26</v>
      </c>
      <c r="F7" s="14" t="s">
        <v>27</v>
      </c>
      <c r="G7" s="15">
        <v>200</v>
      </c>
      <c r="H7" s="16" t="str">
        <f t="shared" si="1"/>
        <v>Standard Price</v>
      </c>
      <c r="I7" s="6">
        <v>45</v>
      </c>
      <c r="J7" s="17" t="s">
        <v>9</v>
      </c>
      <c r="N7" s="27"/>
      <c r="O7" s="26"/>
    </row>
    <row r="8" spans="1:15" ht="15" customHeight="1" x14ac:dyDescent="0.35">
      <c r="A8" s="12" t="str">
        <f>LEFT(Sheet1!A8,2)</f>
        <v>19</v>
      </c>
      <c r="B8" s="13" t="str">
        <f>MID(Sheet1!A8,4,3)</f>
        <v>JUL</v>
      </c>
      <c r="C8" s="13" t="str">
        <f>RIGHT(Sheet1!A8,2)</f>
        <v>UK</v>
      </c>
      <c r="D8" s="14" t="str">
        <f t="shared" si="0"/>
        <v>19-JUL-UK</v>
      </c>
      <c r="E8" s="14" t="s">
        <v>29</v>
      </c>
      <c r="F8" s="14" t="s">
        <v>30</v>
      </c>
      <c r="G8" s="15">
        <v>30</v>
      </c>
      <c r="H8" s="16" t="str">
        <f t="shared" si="1"/>
        <v>Standard Price</v>
      </c>
      <c r="I8" s="5">
        <v>5</v>
      </c>
      <c r="J8" s="17" t="s">
        <v>13</v>
      </c>
      <c r="N8" s="24" t="s">
        <v>101</v>
      </c>
      <c r="O8" s="25">
        <f>MIN(G2:G35)</f>
        <v>30</v>
      </c>
    </row>
    <row r="9" spans="1:15" ht="15" customHeight="1" x14ac:dyDescent="0.35">
      <c r="A9" s="12" t="str">
        <f>LEFT(Sheet1!A9,2)</f>
        <v>23</v>
      </c>
      <c r="B9" s="13" t="str">
        <f>MID(Sheet1!A9,4,3)</f>
        <v>AUG</v>
      </c>
      <c r="C9" s="13" t="str">
        <f>RIGHT(Sheet1!A9,2)</f>
        <v>UK</v>
      </c>
      <c r="D9" s="14" t="str">
        <f t="shared" si="0"/>
        <v>23-AUG-UK</v>
      </c>
      <c r="E9" s="14" t="s">
        <v>32</v>
      </c>
      <c r="F9" s="14" t="s">
        <v>33</v>
      </c>
      <c r="G9" s="15">
        <v>90</v>
      </c>
      <c r="H9" s="16" t="str">
        <f t="shared" si="1"/>
        <v>Standard Price</v>
      </c>
      <c r="I9" s="6">
        <v>35</v>
      </c>
      <c r="J9" s="17" t="s">
        <v>17</v>
      </c>
      <c r="N9" s="27"/>
      <c r="O9" s="26"/>
    </row>
    <row r="10" spans="1:15" ht="15" customHeight="1" x14ac:dyDescent="0.35">
      <c r="A10" s="12" t="str">
        <f>LEFT(Sheet1!A10,2)</f>
        <v>05</v>
      </c>
      <c r="B10" s="13" t="str">
        <f>MID(Sheet1!A10,4,3)</f>
        <v>SEP</v>
      </c>
      <c r="C10" s="13" t="str">
        <f>RIGHT(Sheet1!A10,2)</f>
        <v>UK</v>
      </c>
      <c r="D10" s="14" t="str">
        <f t="shared" si="0"/>
        <v>05-SEP-UK</v>
      </c>
      <c r="E10" s="14" t="s">
        <v>35</v>
      </c>
      <c r="F10" s="14" t="s">
        <v>36</v>
      </c>
      <c r="G10" s="15">
        <v>500</v>
      </c>
      <c r="H10" s="16" t="str">
        <f t="shared" si="1"/>
        <v>High Price</v>
      </c>
      <c r="I10" s="5">
        <v>50</v>
      </c>
      <c r="J10" s="17" t="s">
        <v>9</v>
      </c>
      <c r="N10" s="24" t="s">
        <v>102</v>
      </c>
      <c r="O10" s="25">
        <f>MAX(G2:G35)</f>
        <v>1000</v>
      </c>
    </row>
    <row r="11" spans="1:15" ht="15" customHeight="1" x14ac:dyDescent="0.35">
      <c r="A11" s="12" t="str">
        <f>LEFT(Sheet1!A11,2)</f>
        <v>14</v>
      </c>
      <c r="B11" s="13" t="str">
        <f>MID(Sheet1!A11,4,3)</f>
        <v>OCT</v>
      </c>
      <c r="C11" s="13" t="str">
        <f>RIGHT(Sheet1!A11,2)</f>
        <v>UK</v>
      </c>
      <c r="D11" s="14" t="str">
        <f t="shared" si="0"/>
        <v>14-OCT-UK</v>
      </c>
      <c r="E11" s="14" t="s">
        <v>38</v>
      </c>
      <c r="F11" s="14" t="s">
        <v>39</v>
      </c>
      <c r="G11" s="15">
        <v>130</v>
      </c>
      <c r="H11" s="16" t="str">
        <f t="shared" si="1"/>
        <v>Standard Price</v>
      </c>
      <c r="I11" s="6">
        <v>10</v>
      </c>
      <c r="J11" s="17" t="s">
        <v>24</v>
      </c>
      <c r="N11" s="27"/>
      <c r="O11" s="26"/>
    </row>
    <row r="12" spans="1:15" ht="15" customHeight="1" x14ac:dyDescent="0.35">
      <c r="A12" s="12" t="str">
        <f>LEFT(Sheet1!A12,2)</f>
        <v>17</v>
      </c>
      <c r="B12" s="13" t="str">
        <f>MID(Sheet1!A12,4,3)</f>
        <v>JUN</v>
      </c>
      <c r="C12" s="13" t="str">
        <f>RIGHT(Sheet1!A12,2)</f>
        <v>IN</v>
      </c>
      <c r="D12" s="14" t="str">
        <f t="shared" si="0"/>
        <v>17-JUN-IN</v>
      </c>
      <c r="E12" s="14" t="s">
        <v>7</v>
      </c>
      <c r="F12" s="14" t="s">
        <v>41</v>
      </c>
      <c r="G12" s="15">
        <v>950</v>
      </c>
      <c r="H12" s="16" t="str">
        <f t="shared" si="1"/>
        <v>High Price</v>
      </c>
      <c r="I12" s="5">
        <v>25</v>
      </c>
      <c r="J12" s="17" t="s">
        <v>9</v>
      </c>
      <c r="N12" s="24" t="s">
        <v>104</v>
      </c>
      <c r="O12" s="28">
        <f>SUMIF(J2:J35,"Electronics",G2:G35)</f>
        <v>8050</v>
      </c>
    </row>
    <row r="13" spans="1:15" ht="15" customHeight="1" x14ac:dyDescent="0.35">
      <c r="A13" s="12" t="str">
        <f>LEFT(Sheet1!A13,2)</f>
        <v>25</v>
      </c>
      <c r="B13" s="13" t="str">
        <f>MID(Sheet1!A13,4,3)</f>
        <v>NOV</v>
      </c>
      <c r="C13" s="13" t="str">
        <f>RIGHT(Sheet1!A13,2)</f>
        <v>AU</v>
      </c>
      <c r="D13" s="14" t="str">
        <f t="shared" si="0"/>
        <v>25-NOV-AU</v>
      </c>
      <c r="E13" s="14" t="s">
        <v>11</v>
      </c>
      <c r="F13" s="14" t="s">
        <v>30</v>
      </c>
      <c r="G13" s="15">
        <v>90</v>
      </c>
      <c r="H13" s="16" t="str">
        <f t="shared" si="1"/>
        <v>Standard Price</v>
      </c>
      <c r="I13" s="6">
        <v>40</v>
      </c>
      <c r="J13" s="17" t="s">
        <v>13</v>
      </c>
      <c r="N13" s="27"/>
      <c r="O13" s="26"/>
    </row>
    <row r="14" spans="1:15" ht="15" customHeight="1" x14ac:dyDescent="0.35">
      <c r="A14" s="12" t="str">
        <f>LEFT(Sheet1!A14,2)</f>
        <v>08</v>
      </c>
      <c r="B14" s="13" t="str">
        <f>MID(Sheet1!A14,4,3)</f>
        <v>DEC</v>
      </c>
      <c r="C14" s="13" t="str">
        <f>RIGHT(Sheet1!A14,2)</f>
        <v>DE</v>
      </c>
      <c r="D14" s="14" t="str">
        <f t="shared" si="0"/>
        <v>08-DEC-DE</v>
      </c>
      <c r="E14" s="14" t="s">
        <v>15</v>
      </c>
      <c r="F14" s="14" t="s">
        <v>44</v>
      </c>
      <c r="G14" s="15">
        <v>120</v>
      </c>
      <c r="H14" s="16" t="str">
        <f t="shared" si="1"/>
        <v>Standard Price</v>
      </c>
      <c r="I14" s="5">
        <v>35</v>
      </c>
      <c r="J14" s="17" t="s">
        <v>17</v>
      </c>
      <c r="N14" s="29" t="s">
        <v>103</v>
      </c>
      <c r="O14" s="30">
        <f>COUNTIF(G2:G35,"&lt;100")</f>
        <v>11</v>
      </c>
    </row>
    <row r="15" spans="1:15" ht="15" customHeight="1" x14ac:dyDescent="0.35">
      <c r="A15" s="12" t="str">
        <f>LEFT(Sheet1!A15,2)</f>
        <v>18</v>
      </c>
      <c r="B15" s="13" t="str">
        <f>MID(Sheet1!A15,4,3)</f>
        <v>FEB</v>
      </c>
      <c r="C15" s="13" t="str">
        <f>RIGHT(Sheet1!A15,2)</f>
        <v>CA</v>
      </c>
      <c r="D15" s="14" t="str">
        <f t="shared" si="0"/>
        <v>18-FEB-CA</v>
      </c>
      <c r="E15" s="14" t="s">
        <v>46</v>
      </c>
      <c r="F15" s="14" t="s">
        <v>47</v>
      </c>
      <c r="G15" s="15">
        <v>150</v>
      </c>
      <c r="H15" s="16" t="str">
        <f t="shared" si="1"/>
        <v>Standard Price</v>
      </c>
      <c r="I15" s="6">
        <v>15</v>
      </c>
      <c r="J15" s="17" t="s">
        <v>9</v>
      </c>
    </row>
    <row r="16" spans="1:15" ht="15" customHeight="1" x14ac:dyDescent="0.35">
      <c r="A16" s="12" t="str">
        <f>LEFT(Sheet1!A16,2)</f>
        <v>16</v>
      </c>
      <c r="B16" s="13" t="str">
        <f>MID(Sheet1!A16,4,3)</f>
        <v>APR</v>
      </c>
      <c r="C16" s="13" t="str">
        <f>RIGHT(Sheet1!A16,2)</f>
        <v>ES</v>
      </c>
      <c r="D16" s="14" t="str">
        <f t="shared" si="0"/>
        <v>16-APR-ES</v>
      </c>
      <c r="E16" s="14" t="s">
        <v>26</v>
      </c>
      <c r="F16" s="14" t="s">
        <v>49</v>
      </c>
      <c r="G16" s="15">
        <v>250</v>
      </c>
      <c r="H16" s="16" t="str">
        <f t="shared" si="1"/>
        <v>Standard Price</v>
      </c>
      <c r="I16" s="5">
        <v>20</v>
      </c>
      <c r="J16" s="17" t="s">
        <v>9</v>
      </c>
    </row>
    <row r="17" spans="1:10" ht="15" customHeight="1" x14ac:dyDescent="0.35">
      <c r="A17" s="12" t="str">
        <f>LEFT(Sheet1!A17,2)</f>
        <v>21</v>
      </c>
      <c r="B17" s="13" t="str">
        <f>MID(Sheet1!A17,4,3)</f>
        <v>AUG</v>
      </c>
      <c r="C17" s="13" t="str">
        <f>RIGHT(Sheet1!A17,2)</f>
        <v>CA</v>
      </c>
      <c r="D17" s="14" t="str">
        <f t="shared" si="0"/>
        <v>21-AUG-CA</v>
      </c>
      <c r="E17" s="14" t="s">
        <v>51</v>
      </c>
      <c r="F17" s="14" t="s">
        <v>52</v>
      </c>
      <c r="G17" s="15">
        <v>50</v>
      </c>
      <c r="H17" s="16" t="str">
        <f t="shared" si="1"/>
        <v>Standard Price</v>
      </c>
      <c r="I17" s="6">
        <v>35</v>
      </c>
      <c r="J17" s="17" t="s">
        <v>53</v>
      </c>
    </row>
    <row r="18" spans="1:10" ht="15" customHeight="1" x14ac:dyDescent="0.35">
      <c r="A18" s="12" t="str">
        <f>LEFT(Sheet1!A18,2)</f>
        <v>20</v>
      </c>
      <c r="B18" s="13" t="str">
        <f>MID(Sheet1!A18,4,3)</f>
        <v>AUG</v>
      </c>
      <c r="C18" s="13" t="str">
        <f>RIGHT(Sheet1!A18,2)</f>
        <v>CN</v>
      </c>
      <c r="D18" s="14" t="str">
        <f t="shared" si="0"/>
        <v>20-AUG-CN</v>
      </c>
      <c r="E18" s="14" t="s">
        <v>46</v>
      </c>
      <c r="F18" s="14" t="s">
        <v>55</v>
      </c>
      <c r="G18" s="15">
        <v>160</v>
      </c>
      <c r="H18" s="16" t="str">
        <f t="shared" si="1"/>
        <v>Standard Price</v>
      </c>
      <c r="I18" s="5">
        <v>15</v>
      </c>
      <c r="J18" s="17" t="s">
        <v>9</v>
      </c>
    </row>
    <row r="19" spans="1:10" ht="15" customHeight="1" x14ac:dyDescent="0.35">
      <c r="A19" s="12" t="str">
        <f>LEFT(Sheet1!A19,2)</f>
        <v>27</v>
      </c>
      <c r="B19" s="13" t="str">
        <f>MID(Sheet1!A19,4,3)</f>
        <v>JAN</v>
      </c>
      <c r="C19" s="13" t="str">
        <f>RIGHT(Sheet1!A19,2)</f>
        <v>IT</v>
      </c>
      <c r="D19" s="14" t="str">
        <f t="shared" si="0"/>
        <v>27-JAN-IT</v>
      </c>
      <c r="E19" s="14" t="s">
        <v>7</v>
      </c>
      <c r="F19" s="14" t="s">
        <v>57</v>
      </c>
      <c r="G19" s="15">
        <v>980</v>
      </c>
      <c r="H19" s="16" t="str">
        <f t="shared" si="1"/>
        <v>High Price</v>
      </c>
      <c r="I19" s="6">
        <v>10</v>
      </c>
      <c r="J19" s="17" t="s">
        <v>9</v>
      </c>
    </row>
    <row r="20" spans="1:10" ht="15" customHeight="1" x14ac:dyDescent="0.35">
      <c r="A20" s="12" t="str">
        <f>LEFT(Sheet1!A20,2)</f>
        <v>01</v>
      </c>
      <c r="B20" s="13" t="str">
        <f>MID(Sheet1!A20,4,3)</f>
        <v>MAR</v>
      </c>
      <c r="C20" s="13" t="str">
        <f>RIGHT(Sheet1!A20,2)</f>
        <v>UK</v>
      </c>
      <c r="D20" s="14" t="str">
        <f t="shared" si="0"/>
        <v>01-MAR-UK</v>
      </c>
      <c r="E20" s="14" t="s">
        <v>59</v>
      </c>
      <c r="F20" s="14" t="s">
        <v>60</v>
      </c>
      <c r="G20" s="15">
        <v>150</v>
      </c>
      <c r="H20" s="16" t="str">
        <f t="shared" si="1"/>
        <v>Standard Price</v>
      </c>
      <c r="I20" s="5">
        <v>15</v>
      </c>
      <c r="J20" s="17" t="s">
        <v>13</v>
      </c>
    </row>
    <row r="21" spans="1:10" ht="15" customHeight="1" x14ac:dyDescent="0.35">
      <c r="A21" s="12" t="str">
        <f>LEFT(Sheet1!A21,2)</f>
        <v>14</v>
      </c>
      <c r="B21" s="13" t="str">
        <f>MID(Sheet1!A21,4,3)</f>
        <v>AUG</v>
      </c>
      <c r="C21" s="13" t="str">
        <f>RIGHT(Sheet1!A21,2)</f>
        <v>US</v>
      </c>
      <c r="D21" s="14" t="str">
        <f t="shared" si="0"/>
        <v>14-AUG-US</v>
      </c>
      <c r="E21" s="14" t="s">
        <v>62</v>
      </c>
      <c r="F21" s="14" t="s">
        <v>63</v>
      </c>
      <c r="G21" s="15">
        <v>200</v>
      </c>
      <c r="H21" s="16" t="str">
        <f t="shared" si="1"/>
        <v>Standard Price</v>
      </c>
      <c r="I21" s="6">
        <v>10</v>
      </c>
      <c r="J21" s="17" t="s">
        <v>24</v>
      </c>
    </row>
    <row r="22" spans="1:10" ht="15" customHeight="1" x14ac:dyDescent="0.35">
      <c r="A22" s="12" t="str">
        <f>LEFT(Sheet1!A22,2)</f>
        <v>14</v>
      </c>
      <c r="B22" s="13" t="str">
        <f>MID(Sheet1!A22,4,3)</f>
        <v>MAY</v>
      </c>
      <c r="C22" s="13" t="str">
        <f>RIGHT(Sheet1!A22,2)</f>
        <v>RU</v>
      </c>
      <c r="D22" s="14" t="str">
        <f t="shared" si="0"/>
        <v>14-MAY-RU</v>
      </c>
      <c r="E22" s="14" t="s">
        <v>65</v>
      </c>
      <c r="F22" s="14" t="s">
        <v>66</v>
      </c>
      <c r="G22" s="15">
        <v>700</v>
      </c>
      <c r="H22" s="16" t="str">
        <f t="shared" si="1"/>
        <v>High Price</v>
      </c>
      <c r="I22" s="5">
        <v>50</v>
      </c>
      <c r="J22" s="17" t="s">
        <v>9</v>
      </c>
    </row>
    <row r="23" spans="1:10" ht="15" customHeight="1" x14ac:dyDescent="0.35">
      <c r="A23" s="12" t="str">
        <f>LEFT(Sheet1!A23,2)</f>
        <v>09</v>
      </c>
      <c r="B23" s="13" t="str">
        <f>MID(Sheet1!A23,4,3)</f>
        <v>JAN</v>
      </c>
      <c r="C23" s="13" t="str">
        <f>RIGHT(Sheet1!A23,2)</f>
        <v>CA</v>
      </c>
      <c r="D23" s="14" t="str">
        <f t="shared" si="0"/>
        <v>09-JAN-CA</v>
      </c>
      <c r="E23" s="14" t="s">
        <v>68</v>
      </c>
      <c r="F23" s="14" t="s">
        <v>69</v>
      </c>
      <c r="G23" s="15">
        <v>80</v>
      </c>
      <c r="H23" s="16" t="str">
        <f t="shared" si="1"/>
        <v>Standard Price</v>
      </c>
      <c r="I23" s="6">
        <v>20</v>
      </c>
      <c r="J23" s="17" t="s">
        <v>17</v>
      </c>
    </row>
    <row r="24" spans="1:10" ht="15" customHeight="1" x14ac:dyDescent="0.35">
      <c r="A24" s="12" t="str">
        <f>LEFT(Sheet1!A24,2)</f>
        <v>19</v>
      </c>
      <c r="B24" s="13" t="str">
        <f>MID(Sheet1!A24,4,3)</f>
        <v>JUL</v>
      </c>
      <c r="C24" s="13" t="str">
        <f>RIGHT(Sheet1!A24,2)</f>
        <v>BR</v>
      </c>
      <c r="D24" s="14" t="str">
        <f t="shared" si="0"/>
        <v>19-JUL-BR</v>
      </c>
      <c r="E24" s="14" t="s">
        <v>71</v>
      </c>
      <c r="F24" s="14" t="s">
        <v>72</v>
      </c>
      <c r="G24" s="15">
        <v>150</v>
      </c>
      <c r="H24" s="16" t="str">
        <f t="shared" si="1"/>
        <v>Standard Price</v>
      </c>
      <c r="I24" s="5">
        <v>30</v>
      </c>
      <c r="J24" s="17" t="s">
        <v>9</v>
      </c>
    </row>
    <row r="25" spans="1:10" ht="15" customHeight="1" x14ac:dyDescent="0.35">
      <c r="A25" s="12" t="str">
        <f>LEFT(Sheet1!A25,2)</f>
        <v>21</v>
      </c>
      <c r="B25" s="13" t="str">
        <f>MID(Sheet1!A25,4,3)</f>
        <v>AUG</v>
      </c>
      <c r="C25" s="13" t="str">
        <f>RIGHT(Sheet1!A25,2)</f>
        <v>CA</v>
      </c>
      <c r="D25" s="14" t="str">
        <f t="shared" si="0"/>
        <v>21-AUG-CA</v>
      </c>
      <c r="E25" s="14" t="s">
        <v>51</v>
      </c>
      <c r="F25" s="14" t="s">
        <v>52</v>
      </c>
      <c r="G25" s="15">
        <v>50</v>
      </c>
      <c r="H25" s="16" t="str">
        <f t="shared" si="1"/>
        <v>Standard Price</v>
      </c>
      <c r="I25" s="6">
        <v>35</v>
      </c>
      <c r="J25" s="17" t="s">
        <v>53</v>
      </c>
    </row>
    <row r="26" spans="1:10" ht="15" customHeight="1" x14ac:dyDescent="0.35">
      <c r="A26" s="12" t="str">
        <f>LEFT(Sheet1!A26,2)</f>
        <v>29</v>
      </c>
      <c r="B26" s="13" t="str">
        <f>MID(Sheet1!A26,4,3)</f>
        <v>SEP</v>
      </c>
      <c r="C26" s="13" t="str">
        <f>RIGHT(Sheet1!A26,2)</f>
        <v>CA</v>
      </c>
      <c r="D26" s="14" t="str">
        <f t="shared" si="0"/>
        <v>29-SEP-CA</v>
      </c>
      <c r="E26" s="14" t="s">
        <v>19</v>
      </c>
      <c r="F26" s="14" t="s">
        <v>74</v>
      </c>
      <c r="G26" s="15">
        <v>800</v>
      </c>
      <c r="H26" s="16" t="str">
        <f t="shared" si="1"/>
        <v>High Price</v>
      </c>
      <c r="I26" s="5">
        <v>45</v>
      </c>
      <c r="J26" s="17" t="s">
        <v>9</v>
      </c>
    </row>
    <row r="27" spans="1:10" ht="15" customHeight="1" x14ac:dyDescent="0.35">
      <c r="A27" s="12" t="str">
        <f>LEFT(Sheet1!A27,2)</f>
        <v>03</v>
      </c>
      <c r="B27" s="13" t="str">
        <f>MID(Sheet1!A27,4,3)</f>
        <v>JUN</v>
      </c>
      <c r="C27" s="13" t="str">
        <f>RIGHT(Sheet1!A27,2)</f>
        <v>CA</v>
      </c>
      <c r="D27" s="14" t="str">
        <f t="shared" si="0"/>
        <v>03-JUN-CA</v>
      </c>
      <c r="E27" s="14" t="s">
        <v>59</v>
      </c>
      <c r="F27" s="14" t="s">
        <v>76</v>
      </c>
      <c r="G27" s="15">
        <v>130</v>
      </c>
      <c r="H27" s="16" t="str">
        <f t="shared" si="1"/>
        <v>Standard Price</v>
      </c>
      <c r="I27" s="6">
        <v>25</v>
      </c>
      <c r="J27" s="17" t="s">
        <v>13</v>
      </c>
    </row>
    <row r="28" spans="1:10" ht="15" customHeight="1" x14ac:dyDescent="0.35">
      <c r="A28" s="12" t="str">
        <f>LEFT(Sheet1!A28,2)</f>
        <v>11</v>
      </c>
      <c r="B28" s="13" t="str">
        <f>MID(Sheet1!A28,4,3)</f>
        <v>JUL</v>
      </c>
      <c r="C28" s="13" t="str">
        <f>RIGHT(Sheet1!A28,2)</f>
        <v>CA</v>
      </c>
      <c r="D28" s="14" t="str">
        <f t="shared" si="0"/>
        <v>11-JUL-CA</v>
      </c>
      <c r="E28" s="14" t="s">
        <v>32</v>
      </c>
      <c r="F28" s="14" t="s">
        <v>78</v>
      </c>
      <c r="G28" s="15">
        <v>400</v>
      </c>
      <c r="H28" s="16" t="str">
        <f t="shared" si="1"/>
        <v>Standard Price</v>
      </c>
      <c r="I28" s="5">
        <v>40</v>
      </c>
      <c r="J28" s="17" t="s">
        <v>17</v>
      </c>
    </row>
    <row r="29" spans="1:10" ht="15" customHeight="1" x14ac:dyDescent="0.35">
      <c r="A29" s="12" t="str">
        <f>LEFT(Sheet1!A29,2)</f>
        <v>16</v>
      </c>
      <c r="B29" s="13" t="str">
        <f>MID(Sheet1!A29,4,3)</f>
        <v>APR</v>
      </c>
      <c r="C29" s="13" t="str">
        <f>RIGHT(Sheet1!A29,2)</f>
        <v>ES</v>
      </c>
      <c r="D29" s="14" t="str">
        <f t="shared" si="0"/>
        <v>16-APR-ES</v>
      </c>
      <c r="E29" s="14" t="s">
        <v>26</v>
      </c>
      <c r="F29" s="14" t="s">
        <v>49</v>
      </c>
      <c r="G29" s="15">
        <v>230</v>
      </c>
      <c r="H29" s="16" t="str">
        <f t="shared" si="1"/>
        <v>Standard Price</v>
      </c>
      <c r="I29" s="6">
        <v>20</v>
      </c>
      <c r="J29" s="17" t="s">
        <v>9</v>
      </c>
    </row>
    <row r="30" spans="1:10" ht="15" customHeight="1" x14ac:dyDescent="0.35">
      <c r="A30" s="12" t="str">
        <f>LEFT(Sheet1!A30,2)</f>
        <v>07</v>
      </c>
      <c r="B30" s="13" t="str">
        <f>MID(Sheet1!A30,4,3)</f>
        <v>MAR</v>
      </c>
      <c r="C30" s="13" t="str">
        <f>RIGHT(Sheet1!A30,2)</f>
        <v>CA</v>
      </c>
      <c r="D30" s="14" t="str">
        <f t="shared" si="0"/>
        <v>07-MAR-CA</v>
      </c>
      <c r="E30" s="14" t="s">
        <v>80</v>
      </c>
      <c r="F30" s="14" t="s">
        <v>81</v>
      </c>
      <c r="G30" s="15">
        <v>60</v>
      </c>
      <c r="H30" s="16" t="str">
        <f t="shared" si="1"/>
        <v>Standard Price</v>
      </c>
      <c r="I30" s="5">
        <v>30</v>
      </c>
      <c r="J30" s="17" t="s">
        <v>13</v>
      </c>
    </row>
    <row r="31" spans="1:10" ht="15" customHeight="1" x14ac:dyDescent="0.35">
      <c r="A31" s="12" t="str">
        <f>LEFT(Sheet1!A31,2)</f>
        <v>13</v>
      </c>
      <c r="B31" s="13" t="str">
        <f>MID(Sheet1!A31,4,3)</f>
        <v>APR</v>
      </c>
      <c r="C31" s="13" t="str">
        <f>RIGHT(Sheet1!A31,2)</f>
        <v>CA</v>
      </c>
      <c r="D31" s="14" t="str">
        <f t="shared" si="0"/>
        <v>13-APR-CA</v>
      </c>
      <c r="E31" s="14" t="s">
        <v>83</v>
      </c>
      <c r="F31" s="14" t="s">
        <v>84</v>
      </c>
      <c r="G31" s="15">
        <v>40</v>
      </c>
      <c r="H31" s="16" t="str">
        <f t="shared" si="1"/>
        <v>Standard Price</v>
      </c>
      <c r="I31" s="6">
        <v>10</v>
      </c>
      <c r="J31" s="17" t="s">
        <v>17</v>
      </c>
    </row>
    <row r="32" spans="1:10" ht="15" customHeight="1" x14ac:dyDescent="0.35">
      <c r="A32" s="12" t="str">
        <f>LEFT(Sheet1!A32,2)</f>
        <v>24</v>
      </c>
      <c r="B32" s="13" t="str">
        <f>MID(Sheet1!A32,4,3)</f>
        <v>MAY</v>
      </c>
      <c r="C32" s="13" t="str">
        <f>RIGHT(Sheet1!A32,2)</f>
        <v>CA</v>
      </c>
      <c r="D32" s="14" t="str">
        <f t="shared" si="0"/>
        <v>24-MAY-CA</v>
      </c>
      <c r="E32" s="14" t="s">
        <v>71</v>
      </c>
      <c r="F32" s="14" t="s">
        <v>86</v>
      </c>
      <c r="G32" s="15">
        <v>130</v>
      </c>
      <c r="H32" s="16" t="str">
        <f t="shared" si="1"/>
        <v>Standard Price</v>
      </c>
      <c r="I32" s="5">
        <v>5</v>
      </c>
      <c r="J32" s="17" t="s">
        <v>9</v>
      </c>
    </row>
    <row r="33" spans="1:10" ht="15" customHeight="1" x14ac:dyDescent="0.35">
      <c r="A33" s="12" t="str">
        <f>LEFT(Sheet1!A33,2)</f>
        <v>02</v>
      </c>
      <c r="B33" s="13" t="str">
        <f>MID(Sheet1!A33,4,3)</f>
        <v>DEC</v>
      </c>
      <c r="C33" s="13" t="str">
        <f>RIGHT(Sheet1!A33,2)</f>
        <v>CA</v>
      </c>
      <c r="D33" s="14" t="str">
        <f t="shared" si="0"/>
        <v>02-DEC-CA</v>
      </c>
      <c r="E33" s="14" t="s">
        <v>88</v>
      </c>
      <c r="F33" s="14" t="s">
        <v>89</v>
      </c>
      <c r="G33" s="15">
        <v>50</v>
      </c>
      <c r="H33" s="16" t="str">
        <f t="shared" si="1"/>
        <v>Standard Price</v>
      </c>
      <c r="I33" s="6">
        <v>50</v>
      </c>
      <c r="J33" s="17" t="s">
        <v>13</v>
      </c>
    </row>
    <row r="34" spans="1:10" ht="15" customHeight="1" x14ac:dyDescent="0.35">
      <c r="A34" s="12" t="str">
        <f>LEFT(Sheet1!A34,2)</f>
        <v>17</v>
      </c>
      <c r="B34" s="13" t="str">
        <f>MID(Sheet1!A34,4,3)</f>
        <v>JUN</v>
      </c>
      <c r="C34" s="13" t="str">
        <f>RIGHT(Sheet1!A34,2)</f>
        <v>IN</v>
      </c>
      <c r="D34" s="14" t="str">
        <f t="shared" si="0"/>
        <v>17-JUN-IN</v>
      </c>
      <c r="E34" s="14" t="s">
        <v>7</v>
      </c>
      <c r="F34" s="14" t="s">
        <v>41</v>
      </c>
      <c r="G34" s="15">
        <v>950</v>
      </c>
      <c r="H34" s="16" t="str">
        <f t="shared" si="1"/>
        <v>High Price</v>
      </c>
      <c r="I34" s="5">
        <v>25</v>
      </c>
      <c r="J34" s="17" t="s">
        <v>9</v>
      </c>
    </row>
    <row r="35" spans="1:10" ht="15" customHeight="1" x14ac:dyDescent="0.35">
      <c r="A35" s="18" t="str">
        <f>LEFT(Sheet1!A35,2)</f>
        <v>09</v>
      </c>
      <c r="B35" s="19" t="str">
        <f>MID(Sheet1!A35,4,3)</f>
        <v>JUL</v>
      </c>
      <c r="C35" s="19" t="str">
        <f>RIGHT(Sheet1!A35,2)</f>
        <v>FR</v>
      </c>
      <c r="D35" s="20" t="str">
        <f t="shared" si="0"/>
        <v>09-JUL-FR</v>
      </c>
      <c r="E35" s="20" t="s">
        <v>91</v>
      </c>
      <c r="F35" s="20" t="s">
        <v>92</v>
      </c>
      <c r="G35" s="21">
        <v>100</v>
      </c>
      <c r="H35" s="22" t="str">
        <f t="shared" si="1"/>
        <v>Standard Price</v>
      </c>
      <c r="I35" s="6">
        <v>20</v>
      </c>
      <c r="J35" s="23" t="s">
        <v>53</v>
      </c>
    </row>
  </sheetData>
  <sortState xmlns:xlrd2="http://schemas.microsoft.com/office/spreadsheetml/2017/richdata2" caseSensitive="1" ref="L2:L35">
    <sortCondition ref="L2:L35" customList="January,February,March,April,May,June,July,August,September,October,November,December"/>
  </sortState>
  <conditionalFormatting sqref="H2:H35">
    <cfRule type="containsText" dxfId="1" priority="1" operator="containsText" text="High Price">
      <formula>NOT(ISERROR(SEARCH("High Price",H2)))</formula>
    </cfRule>
    <cfRule type="containsText" dxfId="0" priority="2" operator="containsText" text="High Price">
      <formula>NOT(ISERROR(SEARCH("High Price",H2)))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3BA-46DD-4C5D-9F78-69A613A3D627}">
  <dimension ref="A1:F35"/>
  <sheetViews>
    <sheetView workbookViewId="0">
      <selection activeCell="I13" sqref="I13"/>
    </sheetView>
  </sheetViews>
  <sheetFormatPr defaultRowHeight="14.5" x14ac:dyDescent="0.35"/>
  <cols>
    <col min="1" max="1" width="13.25" bestFit="1" customWidth="1"/>
    <col min="2" max="2" width="16.08203125" bestFit="1" customWidth="1"/>
    <col min="3" max="3" width="14.58203125" bestFit="1" customWidth="1"/>
    <col min="4" max="4" width="11.5" bestFit="1" customWidth="1"/>
    <col min="5" max="5" width="11.6640625" bestFit="1" customWidth="1"/>
    <col min="6" max="6" width="12.0820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6" x14ac:dyDescent="0.35">
      <c r="A3" s="2" t="s">
        <v>10</v>
      </c>
      <c r="B3" s="2" t="s">
        <v>11</v>
      </c>
      <c r="C3" s="2" t="s">
        <v>12</v>
      </c>
      <c r="D3" s="2">
        <v>80</v>
      </c>
      <c r="E3" s="2">
        <v>15</v>
      </c>
      <c r="F3" s="2" t="s">
        <v>13</v>
      </c>
    </row>
    <row r="4" spans="1:6" x14ac:dyDescent="0.3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</row>
    <row r="5" spans="1:6" x14ac:dyDescent="0.35">
      <c r="A5" s="2" t="s">
        <v>18</v>
      </c>
      <c r="B5" s="2" t="s">
        <v>19</v>
      </c>
      <c r="C5" s="2" t="s">
        <v>20</v>
      </c>
      <c r="D5" s="2">
        <v>900</v>
      </c>
      <c r="E5" s="2">
        <v>25</v>
      </c>
      <c r="F5" s="2" t="s">
        <v>9</v>
      </c>
    </row>
    <row r="6" spans="1:6" x14ac:dyDescent="0.3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</row>
    <row r="7" spans="1:6" x14ac:dyDescent="0.35">
      <c r="A7" s="2" t="s">
        <v>25</v>
      </c>
      <c r="B7" s="2" t="s">
        <v>26</v>
      </c>
      <c r="C7" s="2" t="s">
        <v>27</v>
      </c>
      <c r="D7" s="2">
        <v>200</v>
      </c>
      <c r="E7" s="2">
        <v>45</v>
      </c>
      <c r="F7" s="2" t="s">
        <v>9</v>
      </c>
    </row>
    <row r="8" spans="1:6" x14ac:dyDescent="0.3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6" x14ac:dyDescent="0.35">
      <c r="A9" s="2" t="s">
        <v>31</v>
      </c>
      <c r="B9" s="2" t="s">
        <v>32</v>
      </c>
      <c r="C9" s="2" t="s">
        <v>33</v>
      </c>
      <c r="D9" s="2">
        <v>90</v>
      </c>
      <c r="E9" s="2">
        <v>35</v>
      </c>
      <c r="F9" s="2" t="s">
        <v>17</v>
      </c>
    </row>
    <row r="10" spans="1:6" x14ac:dyDescent="0.3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6" x14ac:dyDescent="0.35">
      <c r="A11" s="2" t="s">
        <v>37</v>
      </c>
      <c r="B11" s="2" t="s">
        <v>38</v>
      </c>
      <c r="C11" s="2" t="s">
        <v>39</v>
      </c>
      <c r="D11" s="2">
        <v>130</v>
      </c>
      <c r="E11" s="2">
        <v>10</v>
      </c>
      <c r="F11" s="2" t="s">
        <v>24</v>
      </c>
    </row>
    <row r="12" spans="1:6" x14ac:dyDescent="0.3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</row>
    <row r="13" spans="1:6" x14ac:dyDescent="0.35">
      <c r="A13" s="2" t="s">
        <v>42</v>
      </c>
      <c r="B13" s="2" t="s">
        <v>11</v>
      </c>
      <c r="C13" s="2" t="s">
        <v>30</v>
      </c>
      <c r="D13" s="2">
        <v>90</v>
      </c>
      <c r="E13" s="2">
        <v>40</v>
      </c>
      <c r="F13" s="2" t="s">
        <v>13</v>
      </c>
    </row>
    <row r="14" spans="1:6" x14ac:dyDescent="0.3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</row>
    <row r="15" spans="1:6" x14ac:dyDescent="0.35">
      <c r="A15" s="2" t="s">
        <v>45</v>
      </c>
      <c r="B15" s="2" t="s">
        <v>46</v>
      </c>
      <c r="C15" s="2" t="s">
        <v>47</v>
      </c>
      <c r="D15" s="2">
        <v>150</v>
      </c>
      <c r="E15" s="2">
        <v>15</v>
      </c>
      <c r="F15" s="2" t="s">
        <v>9</v>
      </c>
    </row>
    <row r="16" spans="1:6" x14ac:dyDescent="0.3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</row>
    <row r="17" spans="1:6" x14ac:dyDescent="0.35">
      <c r="A17" s="2" t="s">
        <v>50</v>
      </c>
      <c r="B17" s="2" t="s">
        <v>51</v>
      </c>
      <c r="C17" s="2" t="s">
        <v>52</v>
      </c>
      <c r="D17" s="2">
        <v>50</v>
      </c>
      <c r="E17" s="2">
        <v>35</v>
      </c>
      <c r="F17" s="2" t="s">
        <v>53</v>
      </c>
    </row>
    <row r="18" spans="1:6" x14ac:dyDescent="0.3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</row>
    <row r="19" spans="1:6" x14ac:dyDescent="0.35">
      <c r="A19" s="2" t="s">
        <v>56</v>
      </c>
      <c r="B19" s="2" t="s">
        <v>7</v>
      </c>
      <c r="C19" s="2" t="s">
        <v>57</v>
      </c>
      <c r="D19" s="2">
        <v>980</v>
      </c>
      <c r="E19" s="2">
        <v>10</v>
      </c>
      <c r="F19" s="2" t="s">
        <v>9</v>
      </c>
    </row>
    <row r="20" spans="1:6" x14ac:dyDescent="0.3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</row>
    <row r="21" spans="1:6" x14ac:dyDescent="0.35">
      <c r="A21" s="2" t="s">
        <v>61</v>
      </c>
      <c r="B21" s="2" t="s">
        <v>62</v>
      </c>
      <c r="C21" s="2" t="s">
        <v>63</v>
      </c>
      <c r="D21" s="2">
        <v>200</v>
      </c>
      <c r="E21" s="2">
        <v>10</v>
      </c>
      <c r="F21" s="2" t="s">
        <v>24</v>
      </c>
    </row>
    <row r="22" spans="1:6" x14ac:dyDescent="0.3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</row>
    <row r="23" spans="1:6" x14ac:dyDescent="0.35">
      <c r="A23" s="2" t="s">
        <v>67</v>
      </c>
      <c r="B23" s="2" t="s">
        <v>68</v>
      </c>
      <c r="C23" s="2" t="s">
        <v>69</v>
      </c>
      <c r="D23" s="2">
        <v>80</v>
      </c>
      <c r="E23" s="2">
        <v>20</v>
      </c>
      <c r="F23" s="2" t="s">
        <v>17</v>
      </c>
    </row>
    <row r="24" spans="1:6" x14ac:dyDescent="0.3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</row>
    <row r="25" spans="1:6" x14ac:dyDescent="0.35">
      <c r="A25" s="2" t="s">
        <v>50</v>
      </c>
      <c r="B25" s="2" t="s">
        <v>51</v>
      </c>
      <c r="C25" s="2" t="s">
        <v>52</v>
      </c>
      <c r="D25" s="2">
        <v>50</v>
      </c>
      <c r="E25" s="2">
        <v>35</v>
      </c>
      <c r="F25" s="2" t="s">
        <v>53</v>
      </c>
    </row>
    <row r="26" spans="1:6" x14ac:dyDescent="0.3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</row>
    <row r="27" spans="1:6" x14ac:dyDescent="0.35">
      <c r="A27" s="2" t="s">
        <v>75</v>
      </c>
      <c r="B27" s="2" t="s">
        <v>59</v>
      </c>
      <c r="C27" s="2" t="s">
        <v>76</v>
      </c>
      <c r="D27" s="2">
        <v>130</v>
      </c>
      <c r="E27" s="2">
        <v>25</v>
      </c>
      <c r="F27" s="2" t="s">
        <v>13</v>
      </c>
    </row>
    <row r="28" spans="1:6" x14ac:dyDescent="0.3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</row>
    <row r="29" spans="1:6" x14ac:dyDescent="0.35">
      <c r="A29" s="2" t="s">
        <v>48</v>
      </c>
      <c r="B29" s="2" t="s">
        <v>26</v>
      </c>
      <c r="C29" s="2" t="s">
        <v>49</v>
      </c>
      <c r="D29" s="2">
        <v>230</v>
      </c>
      <c r="E29" s="2">
        <v>20</v>
      </c>
      <c r="F29" s="2" t="s">
        <v>9</v>
      </c>
    </row>
    <row r="30" spans="1:6" x14ac:dyDescent="0.3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</row>
    <row r="31" spans="1:6" x14ac:dyDescent="0.35">
      <c r="A31" s="2" t="s">
        <v>82</v>
      </c>
      <c r="B31" s="2" t="s">
        <v>83</v>
      </c>
      <c r="C31" s="2" t="s">
        <v>84</v>
      </c>
      <c r="D31" s="2">
        <v>40</v>
      </c>
      <c r="E31" s="2">
        <v>10</v>
      </c>
      <c r="F31" s="2" t="s">
        <v>17</v>
      </c>
    </row>
    <row r="32" spans="1:6" x14ac:dyDescent="0.3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</row>
    <row r="33" spans="1:6" x14ac:dyDescent="0.35">
      <c r="A33" s="2" t="s">
        <v>87</v>
      </c>
      <c r="B33" s="2" t="s">
        <v>88</v>
      </c>
      <c r="C33" s="2" t="s">
        <v>89</v>
      </c>
      <c r="D33" s="2">
        <v>50</v>
      </c>
      <c r="E33" s="2">
        <v>50</v>
      </c>
      <c r="F33" s="2" t="s">
        <v>13</v>
      </c>
    </row>
    <row r="34" spans="1:6" x14ac:dyDescent="0.3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</row>
    <row r="35" spans="1:6" x14ac:dyDescent="0.35">
      <c r="A35" s="2" t="s">
        <v>90</v>
      </c>
      <c r="B35" s="2" t="s">
        <v>91</v>
      </c>
      <c r="C35" s="2" t="s">
        <v>92</v>
      </c>
      <c r="D35" s="2">
        <v>100</v>
      </c>
      <c r="E35" s="2">
        <v>20</v>
      </c>
      <c r="F35" s="2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Selvi Vincent</dc:creator>
  <cp:lastModifiedBy>Selvi Vincent</cp:lastModifiedBy>
  <dcterms:created xsi:type="dcterms:W3CDTF">2025-11-25T12:30:24Z</dcterms:created>
  <dcterms:modified xsi:type="dcterms:W3CDTF">2025-11-27T19:38:12Z</dcterms:modified>
</cp:coreProperties>
</file>